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07028106070000725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true" applyFont="true">
      <alignment wrapText="true" horizontal="left" vertical="top"/>
    </xf>
    <xf numFmtId="4" fontId="1" fillId="0" borderId="0" xfId="0" applyAlignment="true" applyFont="true" applyNumberFormat="true">
      <alignment wrapText="true" horizontal="right" vertical="top"/>
    </xf>
    <xf numFmtId="14" fontId="1" fillId="0" borderId="0" xfId="0" applyAlignment="true" applyFont="true" applyNumberFormat="true">
      <alignment wrapText="true" horizontal="center" vertical="top"/>
    </xf>
    <xf numFmtId="0" fontId="1" fillId="0" borderId="0" xfId="0" applyAlignment="true" applyFont="true">
      <alignment wrapText="true"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9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19.53125" customWidth="true"/>
    <col min="4" max="4" width="19.53125" customWidth="true"/>
    <col min="5" max="5" width="9.76562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58.59375" customWidth="true"/>
  </cols>
  <sheetData>
    <row r="1">
      <c r="A1" s="1" t="inlineStr">
        <is>
          <t>Банк / Bank:</t>
        </is>
      </c>
      <c r="B1" s="1" t="inlineStr">
        <is>
          <t>630099, Новосибирск, ул. Урицкого, 20</t>
        </is>
      </c>
    </row>
    <row r="2">
      <c r="A2" s="1" t="inlineStr">
        <is>
          <t>Клиент / Client:</t>
        </is>
      </c>
      <c r="B2" s="1" t="inlineStr">
        <is>
          <t>ООО "ШТУРМАН"</t>
        </is>
      </c>
    </row>
    <row r="3">
      <c r="A3" s="1" t="inlineStr">
        <is>
          <t>ИНН / INN: КИО/KIO</t>
        </is>
      </c>
      <c r="B3" s="1" t="inlineStr">
        <is>
          <t>2460117837</t>
        </is>
      </c>
    </row>
    <row r="4">
      <c r="A4" s="1" t="inlineStr">
        <is>
          <t>Наименование счета / Account name:</t>
        </is>
      </c>
      <c r="B4" s="1" t="inlineStr">
        <is>
          <t>расчетный счет</t>
        </is>
      </c>
    </row>
    <row r="5">
      <c r="A5" s="1" t="inlineStr">
        <is>
          <t>Валюта счета / Account currency:</t>
        </is>
      </c>
      <c r="B5" s="1" t="inlineStr">
        <is>
          <t>810 (РОССИЙСКИЙ РУБЛЬ)</t>
        </is>
      </c>
    </row>
    <row r="6">
      <c r="A6" s="1" t="inlineStr">
        <is>
          <t>Дата предыдущей выписки/Previous statement date:</t>
        </is>
      </c>
      <c r="B6" s="3" t="n">
        <v>44813.0</v>
      </c>
    </row>
    <row r="7">
      <c r="A7" s="1" t="inlineStr">
        <is>
          <t>Номер счета / Account number:</t>
        </is>
      </c>
      <c r="B7" s="1" t="inlineStr">
        <is>
          <t>40702810607000072502</t>
        </is>
      </c>
    </row>
    <row r="8">
      <c r="A8" s="1" t="inlineStr">
        <is>
          <t>Входящий остаток на начало дня (периода) / Opening Balance:</t>
        </is>
      </c>
      <c r="B8" s="1" t="inlineStr">
        <is>
          <t>0.00 (Кр/Cr)</t>
        </is>
      </c>
    </row>
    <row r="9">
</row>
    <row r="10">
      <c r="A10" s="1" t="inlineStr">
        <is>
          <t>№ П/П</t>
        </is>
      </c>
      <c r="B10"/>
      <c r="C10" s="1" t="inlineStr">
        <is>
          <t>Дата операции / Posting date</t>
        </is>
      </c>
      <c r="D10" s="1" t="inlineStr">
        <is>
          <t>Дата валютир. / Value</t>
        </is>
      </c>
      <c r="E10" s="1" t="inlineStr">
        <is>
          <t>Вид опер. / Op. type</t>
        </is>
      </c>
      <c r="F10" s="1" t="inlineStr">
        <is>
          <t>Номер документа / Document number</t>
        </is>
      </c>
      <c r="G10" s="1" t="inlineStr">
        <is>
          <t>Реквизиты корреспондента /Counter party details</t>
        </is>
      </c>
      <c r="H10"/>
      <c r="I10"/>
      <c r="J10" s="1" t="inlineStr">
        <is>
          <t>Дебет / Debit</t>
        </is>
      </c>
      <c r="K10" s="1" t="inlineStr">
        <is>
          <t>Кредит / Credit</t>
        </is>
      </c>
      <c r="L10" s="1" t="inlineStr">
        <is>
          <t>Основание операции (назначение платежа) / Payment details</t>
        </is>
      </c>
    </row>
    <row r="11">
      <c r="A11"/>
      <c r="B11"/>
      <c r="C11"/>
      <c r="D11"/>
      <c r="E11"/>
      <c r="F11"/>
      <c r="G11" s="1" t="inlineStr">
        <is>
          <t>Наименование / Name</t>
        </is>
      </c>
      <c r="H11" s="1" t="inlineStr">
        <is>
          <t>Счет / Account</t>
        </is>
      </c>
      <c r="I11" s="1" t="inlineStr">
        <is>
          <t>Банк / Bank</t>
        </is>
      </c>
      <c r="J11"/>
      <c r="K11"/>
      <c r="L11"/>
    </row>
    <row r="12">
      <c r="A12" s="1" t="n">
        <v>1.0</v>
      </c>
      <c r="B12"/>
      <c r="C12" s="1" t="n">
        <v>2.0</v>
      </c>
      <c r="D12" s="1" t="n">
        <f>C12+1</f>
        <v>0.0</v>
      </c>
      <c r="E12" s="1" t="n">
        <f>D12+1</f>
        <v>0.0</v>
      </c>
      <c r="F12" s="1" t="n">
        <f>E12+1</f>
        <v>0.0</v>
      </c>
      <c r="G12" s="1" t="n">
        <f>F12+1</f>
        <v>0.0</v>
      </c>
      <c r="H12" s="1" t="n">
        <f>G12+1</f>
        <v>0.0</v>
      </c>
      <c r="I12" s="1" t="n">
        <f>H12+1</f>
        <v>0.0</v>
      </c>
      <c r="J12" s="1" t="n">
        <f>I12+1</f>
        <v>0.0</v>
      </c>
      <c r="K12" s="1" t="n">
        <f>J12+1</f>
        <v>0.0</v>
      </c>
      <c r="L12" s="1" t="n">
        <f>K12+1</f>
        <v>0.0</v>
      </c>
    </row>
    <row r="13">
      <c r="A13" s="4" t="n">
        <v>1.0</v>
      </c>
      <c r="B13"/>
      <c r="C13" s="3" t="n">
        <v>44813.0</v>
      </c>
      <c r="D13" s="3" t="n">
        <v>44813.0</v>
      </c>
      <c r="E13" s="1" t="inlineStr">
        <is>
          <t>01</t>
        </is>
      </c>
      <c r="F13" s="1" t="inlineStr">
        <is>
          <t>1</t>
        </is>
      </c>
      <c r="G13" s="1" t="inlineStr">
        <is>
          <t xml:space="preserve">Пашкевич Наталья Владимировна //660018, Красноярский край, Красноярск г, Новосибирская ул, д. 5, кв. 85//, ИНН: </t>
        </is>
      </c>
      <c r="H13" s="1" t="inlineStr">
        <is>
          <t>40817810907001489792</t>
        </is>
      </c>
      <c r="I13" s="1" t="inlineStr">
        <is>
          <t>045004799</t>
        </is>
      </c>
      <c r="J13"/>
      <c r="K13" s="2" t="n">
        <v>733000.0</v>
      </c>
      <c r="L13" s="1" t="inlineStr">
        <is>
          <t>Перечисление денежных средств по договору займа от 08.09.2022 года</t>
        </is>
      </c>
    </row>
    <row r="14">
      <c r="A14" s="4" t="n">
        <f>A13+1</f>
        <v>0.0</v>
      </c>
      <c r="B14"/>
      <c r="C14" s="3" t="n">
        <v>44816.0</v>
      </c>
      <c r="D14" s="3" t="n">
        <v>44816.0</v>
      </c>
      <c r="E14" s="1" t="inlineStr">
        <is>
          <t>17</t>
        </is>
      </c>
      <c r="F14" s="1" t="inlineStr">
        <is>
          <t>588063</t>
        </is>
      </c>
      <c r="G14" s="1" t="inlineStr">
        <is>
          <t>Филиал "Сибирский" АО "Райффайзенбанк" в г. Новосибирске, ИНН: 7744000302</t>
        </is>
      </c>
      <c r="H14" s="1" t="inlineStr">
        <is>
          <t>60309810607000011933</t>
        </is>
      </c>
      <c r="I14" s="1" t="inlineStr">
        <is>
          <t>045004799</t>
        </is>
      </c>
      <c r="J14" s="2" t="n">
        <v>204.54</v>
      </c>
      <c r="K14"/>
      <c r="L14" s="1" t="inlineStr">
        <is>
          <t>Сумма НДС по комиссии: Осуществление вал.контроля по операциям без оформ.УК   счет-фактура №220912/700/00001828 от 12.09.2022</t>
        </is>
      </c>
    </row>
    <row r="15">
      <c r="A15" s="4" t="n">
        <f>A14+1</f>
        <v>0.0</v>
      </c>
      <c r="B15"/>
      <c r="C15" s="3" t="n">
        <v>44816.0</v>
      </c>
      <c r="D15" s="3" t="n">
        <v>44816.0</v>
      </c>
      <c r="E15" s="1" t="inlineStr">
        <is>
          <t>17</t>
        </is>
      </c>
      <c r="F15" s="1" t="inlineStr">
        <is>
          <t>588061</t>
        </is>
      </c>
      <c r="G15" s="1" t="inlineStr">
        <is>
          <t>Филиал "Сибирский" АО "Райффайзенбанк" в г. Новосибирске, ИНН: 7744000302</t>
        </is>
      </c>
      <c r="H15" s="1" t="inlineStr">
        <is>
          <t>47423810407000534593</t>
        </is>
      </c>
      <c r="I15" s="1" t="inlineStr">
        <is>
          <t>045004799</t>
        </is>
      </c>
      <c r="J15" s="2" t="n">
        <v>1022.71</v>
      </c>
      <c r="K15"/>
      <c r="L15" s="1" t="inlineStr">
        <is>
          <t>Ком.за осуществ.вал.контроля по опер. без оформ.УК (без учета НДС) С/Ф 220912/700/00001828, операция 12.09.2022 RUR 730510.50, начислена в сумме 1022.71 RUR,</t>
        </is>
      </c>
    </row>
    <row r="16">
      <c r="A16" s="4" t="n">
        <f>A15+1</f>
        <v>0.0</v>
      </c>
      <c r="B16"/>
      <c r="C16" s="3" t="n">
        <v>44816.0</v>
      </c>
      <c r="D16" s="3" t="n">
        <v>44816.0</v>
      </c>
      <c r="E16" s="1" t="inlineStr">
        <is>
          <t>01</t>
        </is>
      </c>
      <c r="F16" s="1" t="inlineStr">
        <is>
          <t>1</t>
        </is>
      </c>
      <c r="G16" s="1" t="inlineStr">
        <is>
          <t xml:space="preserve">АО "Евразийский банк", ИНН: </t>
        </is>
      </c>
      <c r="H16" s="1" t="inlineStr">
        <is>
          <t>30111810300013119733</t>
        </is>
      </c>
      <c r="I16" s="1" t="inlineStr">
        <is>
          <t>044525545</t>
        </is>
      </c>
      <c r="J16" s="2" t="n">
        <v>730510.5</v>
      </c>
      <c r="K16"/>
      <c r="L16" s="1" t="inlineStr">
        <is>
          <t>{VO11100}, БИН/ИНН 171140031821, ТОО "LeichtMetall.KZ" (ЛяйхтМеталл.КЗ), ИИК KZ1594812KZT22031398, БИК EURIKZKA, код назначения 710, предоплата за комплектующие по счету №6 от 06.09.22, НДС не облагается</t>
        </is>
      </c>
    </row>
    <row r="17">
      <c r="A17" s="4" t="n">
        <f>A16+1</f>
        <v>0.0</v>
      </c>
      <c r="B17"/>
      <c r="C17" s="3" t="n">
        <v>44851.0</v>
      </c>
      <c r="D17" s="3" t="n">
        <v>44851.0</v>
      </c>
      <c r="E17" s="1" t="inlineStr">
        <is>
          <t>17</t>
        </is>
      </c>
      <c r="F17" s="1" t="inlineStr">
        <is>
          <t>567479</t>
        </is>
      </c>
      <c r="G17" s="1" t="inlineStr">
        <is>
          <t>Филиал "Сибирский" АО "Райффайзенбанк" в г. Новосибирске, ИНН: 7744000302</t>
        </is>
      </c>
      <c r="H17" s="1" t="inlineStr">
        <is>
          <t>47423810507000534493</t>
        </is>
      </c>
      <c r="I17" s="1" t="inlineStr">
        <is>
          <t>045004799</t>
        </is>
      </c>
      <c r="J17" s="2" t="n">
        <v>990.0</v>
      </c>
      <c r="K17"/>
      <c r="L17" s="1" t="inlineStr">
        <is>
          <t>Комиссия за входящие платежи</t>
        </is>
      </c>
    </row>
    <row r="18">
      <c r="A18" s="4" t="n">
        <f>A17+1</f>
        <v>0.0</v>
      </c>
      <c r="B18"/>
      <c r="C18" s="3" t="n">
        <v>44851.0</v>
      </c>
      <c r="D18" s="3" t="n">
        <v>44851.0</v>
      </c>
      <c r="E18" s="1" t="inlineStr">
        <is>
          <t>01</t>
        </is>
      </c>
      <c r="F18" s="1" t="inlineStr">
        <is>
          <t>83</t>
        </is>
      </c>
      <c r="G18" s="1" t="inlineStr">
        <is>
          <t>ООО "ШТУРМАН" р/с 40702810731000037002 в КРАСНОЯРСКОЕ ОТДЕЛЕНИЕ N 8646 ПАО СБЕРБАНК г.Красноярск, ИНН: 2460117837</t>
        </is>
      </c>
      <c r="H18" s="1" t="inlineStr">
        <is>
          <t>30302810800006004400</t>
        </is>
      </c>
      <c r="I18" s="1" t="inlineStr">
        <is>
          <t>044525225</t>
        </is>
      </c>
      <c r="J18"/>
      <c r="K18" s="2" t="n">
        <v>100000.0</v>
      </c>
      <c r="L18" s="1" t="inlineStr">
        <is>
          <t>Пополнение расчетного счета в другом банке, НДС не облагается.</t>
        </is>
      </c>
    </row>
    <row r="19">
      <c r="A19" s="4" t="n">
        <f>A18+1</f>
        <v>0.0</v>
      </c>
      <c r="B19"/>
      <c r="C19" s="3" t="n">
        <v>44854.0</v>
      </c>
      <c r="D19" s="3" t="n">
        <v>44854.0</v>
      </c>
      <c r="E19" s="1" t="inlineStr">
        <is>
          <t>17</t>
        </is>
      </c>
      <c r="F19" s="1" t="inlineStr">
        <is>
          <t>332975</t>
        </is>
      </c>
      <c r="G19" s="1" t="inlineStr">
        <is>
          <t>Филиал "Сибирский" АО "Райффайзенбанк" в г. Новосибирске, ИНН: 7744000302</t>
        </is>
      </c>
      <c r="H19" s="1" t="inlineStr">
        <is>
          <t>60309810607000011933</t>
        </is>
      </c>
      <c r="I19" s="1" t="inlineStr">
        <is>
          <t>045004799</t>
        </is>
      </c>
      <c r="J19" s="2" t="n">
        <v>58.0</v>
      </c>
      <c r="K19"/>
      <c r="L19" s="1" t="inlineStr">
        <is>
          <t>Сумма НДС по комиссии: Осуществление вал.контроля по операциям без оформ.УК   счет-фактура №221020/700/00002304 от 20.10.2022</t>
        </is>
      </c>
    </row>
    <row r="20">
      <c r="A20" s="4" t="n">
        <f>A19+1</f>
        <v>0.0</v>
      </c>
      <c r="B20"/>
      <c r="C20" s="3" t="n">
        <v>44854.0</v>
      </c>
      <c r="D20" s="3" t="n">
        <v>44854.0</v>
      </c>
      <c r="E20" s="1" t="inlineStr">
        <is>
          <t>17</t>
        </is>
      </c>
      <c r="F20" s="1" t="inlineStr">
        <is>
          <t>332973</t>
        </is>
      </c>
      <c r="G20" s="1" t="inlineStr">
        <is>
          <t>Филиал "Сибирский" АО "Райффайзенбанк" в г. Новосибирске, ИНН: 7744000302</t>
        </is>
      </c>
      <c r="H20" s="1" t="inlineStr">
        <is>
          <t>47423810407000534593</t>
        </is>
      </c>
      <c r="I20" s="1" t="inlineStr">
        <is>
          <t>045004799</t>
        </is>
      </c>
      <c r="J20" s="2" t="n">
        <v>290.0</v>
      </c>
      <c r="K20"/>
      <c r="L20" s="1" t="inlineStr">
        <is>
          <t>Ком.за осуществ.вал.контроля по опер. без оформ.УК (без учета НДС) С/Ф 221020/700/00002304, операция 20.10.2022 RUR 98864.00, начислена в сумме 290.00 RUR,</t>
        </is>
      </c>
    </row>
    <row r="21">
      <c r="A21" s="4" t="n">
        <f>A20+1</f>
        <v>0.0</v>
      </c>
      <c r="B21"/>
      <c r="C21" s="3" t="n">
        <v>44854.0</v>
      </c>
      <c r="D21" s="3" t="n">
        <v>44854.0</v>
      </c>
      <c r="E21" s="1" t="inlineStr">
        <is>
          <t>01</t>
        </is>
      </c>
      <c r="F21" s="1" t="inlineStr">
        <is>
          <t>2</t>
        </is>
      </c>
      <c r="G21" s="1" t="inlineStr">
        <is>
          <t xml:space="preserve">Филиал АО "ForteBank" в г. Атырау, ИНН: </t>
        </is>
      </c>
      <c r="H21" s="1" t="inlineStr">
        <is>
          <t>30111810700000053722</t>
        </is>
      </c>
      <c r="I21" s="1" t="inlineStr">
        <is>
          <t>044525951</t>
        </is>
      </c>
      <c r="J21" s="2" t="n">
        <v>98864.0</v>
      </c>
      <c r="K21"/>
      <c r="L21" s="1" t="inlineStr">
        <is>
          <t>{VO11100}, БИН 141240015838, ТОО "NOMAD SYNERGY", ИИК KZ9396510F0008587705, БИК IRTYKZKA, код назначения 710, предоплата за комплектующие по счету №85 от 17.10.2022, НДС не облагается</t>
        </is>
      </c>
    </row>
    <row r="22">
      <c r="A22" s="4" t="n">
        <f>A21+1</f>
        <v>0.0</v>
      </c>
      <c r="B22"/>
      <c r="C22" s="3" t="n">
        <v>44900.0</v>
      </c>
      <c r="D22" s="3" t="n">
        <v>44900.0</v>
      </c>
      <c r="E22" s="1" t="inlineStr">
        <is>
          <t>17</t>
        </is>
      </c>
      <c r="F22" s="1" t="inlineStr">
        <is>
          <t>965847</t>
        </is>
      </c>
      <c r="G22" s="1" t="inlineStr">
        <is>
          <t>Филиал "Сибирский" АО "Райффайзенбанк" в г. Новосибирске, ИНН: 7744000302</t>
        </is>
      </c>
      <c r="H22" s="1" t="inlineStr">
        <is>
          <t>47423810507000534493</t>
        </is>
      </c>
      <c r="I22" s="1" t="inlineStr">
        <is>
          <t>045004799</t>
        </is>
      </c>
      <c r="J22" s="2" t="n">
        <v>90.0</v>
      </c>
      <c r="K22"/>
      <c r="L22" s="1" t="inlineStr">
        <is>
          <t>Комиссия за изготовление справки/выписки и выдачу через интернет-банк/по email</t>
        </is>
      </c>
    </row>
    <row r="23">
      <c r="A23" s="4" t="n">
        <f>A22+1</f>
        <v>0.0</v>
      </c>
      <c r="B23"/>
      <c r="C23" s="3" t="n">
        <v>44986.0</v>
      </c>
      <c r="D23" s="3" t="n">
        <v>44986.0</v>
      </c>
      <c r="E23" s="1" t="inlineStr">
        <is>
          <t>17</t>
        </is>
      </c>
      <c r="F23" s="1" t="inlineStr">
        <is>
          <t>237437</t>
        </is>
      </c>
      <c r="G23" s="1" t="inlineStr">
        <is>
          <t>Филиал "Сибирский" АО "Райффайзенбанк" в г. Новосибирске, ИНН: 7744000302</t>
        </is>
      </c>
      <c r="H23" s="1" t="inlineStr">
        <is>
          <t>47423810507000534493</t>
        </is>
      </c>
      <c r="I23" s="1" t="inlineStr">
        <is>
          <t>045004799</t>
        </is>
      </c>
      <c r="J23" s="2" t="n">
        <v>99.0</v>
      </c>
      <c r="K23"/>
      <c r="L23" s="1" t="inlineStr">
        <is>
          <t>Комиссия за входящие платежи</t>
        </is>
      </c>
    </row>
    <row r="24">
      <c r="A24" s="4" t="n">
        <f>A23+1</f>
        <v>0.0</v>
      </c>
      <c r="B24"/>
      <c r="C24" s="3" t="n">
        <v>44986.0</v>
      </c>
      <c r="D24" s="3" t="n">
        <v>44986.0</v>
      </c>
      <c r="E24" s="1" t="inlineStr">
        <is>
          <t>01</t>
        </is>
      </c>
      <c r="F24" s="1" t="inlineStr">
        <is>
          <t>32</t>
        </is>
      </c>
      <c r="G24" s="1" t="inlineStr">
        <is>
          <t>ООО "ШТУРМАН" р/с 40702810731000037002 в КРАСНОЯРСКОЕ ОТДЕЛЕНИЕ N 8646 ПАО СБЕРБАНК г.Красноярск, ИНН: 2460117837</t>
        </is>
      </c>
      <c r="H24" s="1" t="inlineStr">
        <is>
          <t>30302810800006004400</t>
        </is>
      </c>
      <c r="I24" s="1" t="inlineStr">
        <is>
          <t>044525225</t>
        </is>
      </c>
      <c r="J24"/>
      <c r="K24" s="2" t="n">
        <v>10000.0</v>
      </c>
      <c r="L24" s="1" t="inlineStr">
        <is>
          <t>Пополнение расчетного счета в другом банке, НДС не облагается.</t>
        </is>
      </c>
    </row>
    <row r="25">
      <c r="A25" s="4" t="n">
        <f>A24+1</f>
        <v>0.0</v>
      </c>
      <c r="B25"/>
      <c r="C25" s="3" t="n">
        <v>45369.0</v>
      </c>
      <c r="D25" s="3" t="n">
        <v>45369.0</v>
      </c>
      <c r="E25" s="1" t="inlineStr">
        <is>
          <t>01</t>
        </is>
      </c>
      <c r="F25" s="1" t="inlineStr">
        <is>
          <t>1</t>
        </is>
      </c>
      <c r="G25" s="1" t="inlineStr">
        <is>
          <t>ООО "ТЭЙСТИ КОФЕ", ИНН: 1831139275</t>
        </is>
      </c>
      <c r="H25" s="1" t="inlineStr">
        <is>
          <t>40702810329020001153</t>
        </is>
      </c>
      <c r="I25" s="1" t="inlineStr">
        <is>
          <t>042202824</t>
        </is>
      </c>
      <c r="J25" s="2" t="n">
        <v>7575.5</v>
      </c>
      <c r="K25"/>
      <c r="L25" s="1" t="inlineStr">
        <is>
          <t>Оплата за товар по Счету №8355 от 16.03.2024, в том числе НДС 20.00% - 1 262.60</t>
        </is>
      </c>
    </row>
    <row r="26">
      <c r="A26" s="4" t="n">
        <f>A25+1</f>
        <v>0.0</v>
      </c>
      <c r="B26"/>
      <c r="C26" s="3" t="n">
        <v>45376.0</v>
      </c>
      <c r="D26" s="3" t="n">
        <v>45376.0</v>
      </c>
      <c r="E26" s="1" t="inlineStr">
        <is>
          <t>01</t>
        </is>
      </c>
      <c r="F26" s="1" t="inlineStr">
        <is>
          <t>2</t>
        </is>
      </c>
      <c r="G26" s="1" t="inlineStr">
        <is>
          <t>ООО "СДЭК-ГЛОБАЛ", ИНН: 7722327689</t>
        </is>
      </c>
      <c r="H26" s="1" t="inlineStr">
        <is>
          <t>40702810723000005023</t>
        </is>
      </c>
      <c r="I26" s="1" t="inlineStr">
        <is>
          <t>045004774</t>
        </is>
      </c>
      <c r="J26" s="2" t="n">
        <v>702.0</v>
      </c>
      <c r="K26"/>
      <c r="L26" s="1" t="inlineStr">
        <is>
          <t>Оплата по счету №СЧ-ГЛ3292156 от 24.03.2024, за услуги доставки по договору № ИМ-РФ-ПСП-3284 от 01.03.2022, в том числе НДС 20.00% - 117.00</t>
        </is>
      </c>
    </row>
    <row r="27">
      <c r="A27" s="4" t="n">
        <f>A26+1</f>
        <v>0.0</v>
      </c>
      <c r="B27"/>
      <c r="C27" s="3" t="n">
        <v>45384.0</v>
      </c>
      <c r="D27" s="3" t="n">
        <v>45384.0</v>
      </c>
      <c r="E27" s="1" t="inlineStr">
        <is>
          <t>01</t>
        </is>
      </c>
      <c r="F27" s="1" t="inlineStr">
        <is>
          <t>3</t>
        </is>
      </c>
      <c r="G27" s="1" t="inlineStr">
        <is>
          <t>ООО "СДЭК-ГЛОБАЛ", ИНН: 7722327689</t>
        </is>
      </c>
      <c r="H27" s="1" t="inlineStr">
        <is>
          <t>40702810723000005023</t>
        </is>
      </c>
      <c r="I27" s="1" t="inlineStr">
        <is>
          <t>045004774</t>
        </is>
      </c>
      <c r="J27" s="2" t="n">
        <v>354.0</v>
      </c>
      <c r="K27"/>
      <c r="L27" s="1" t="inlineStr">
        <is>
          <t>Оплата по счету №СЧ-ГЛ3297129 от 31.03.2024, за услуги доставки по договору №ИМ-РФ-ПСП-3284 от 01.03.2022г., в том числе НДС 20.00% - 59.00</t>
        </is>
      </c>
    </row>
    <row r="28">
      <c r="A28" s="4" t="n">
        <f>A27+1</f>
        <v>0.0</v>
      </c>
      <c r="B28"/>
      <c r="C28" s="3" t="n">
        <v>45393.0</v>
      </c>
      <c r="D28" s="3" t="n">
        <v>45393.0</v>
      </c>
      <c r="E28" s="1" t="inlineStr">
        <is>
          <t>17</t>
        </is>
      </c>
      <c r="F28" s="1" t="inlineStr">
        <is>
          <t>346625</t>
        </is>
      </c>
      <c r="G28" s="1" t="inlineStr">
        <is>
          <t>АО "Райффайзенбанк" г. Москва, ИНН: 7744000302</t>
        </is>
      </c>
      <c r="H28" s="1" t="inlineStr">
        <is>
          <t>70606810700004840709</t>
        </is>
      </c>
      <c r="I28" s="1" t="inlineStr">
        <is>
          <t>044525700</t>
        </is>
      </c>
      <c r="J28"/>
      <c r="K28" s="2" t="n">
        <v>1500.0</v>
      </c>
      <c r="L28" s="1" t="inlineStr">
        <is>
          <t>Вознаграждение по акции. Uvelichenie activnych klientov</t>
        </is>
      </c>
    </row>
    <row r="29">
      <c r="A29" s="4" t="n">
        <f>A28+1</f>
        <v>0.0</v>
      </c>
      <c r="B29"/>
      <c r="C29" s="3" t="n">
        <v>45408.0</v>
      </c>
      <c r="D29" s="3" t="n">
        <v>45408.0</v>
      </c>
      <c r="E29" s="1" t="inlineStr">
        <is>
          <t>01</t>
        </is>
      </c>
      <c r="F29" s="1" t="inlineStr">
        <is>
          <t>4</t>
        </is>
      </c>
      <c r="G29" s="1" t="inlineStr">
        <is>
          <t>ООО "ОЛИМП", ИНН: 2462074498</t>
        </is>
      </c>
      <c r="H29" s="1" t="inlineStr">
        <is>
          <t>40702810423590002548</t>
        </is>
      </c>
      <c r="I29" s="1" t="inlineStr">
        <is>
          <t>045004774</t>
        </is>
      </c>
      <c r="J29" s="2" t="n">
        <v>3500.0</v>
      </c>
      <c r="K29"/>
      <c r="L29" s="1" t="inlineStr">
        <is>
          <t>За транспортные услуги по Счету №УТ-27 от 25.04.2024г., в том числе НДС 20.00% - 583.33</t>
        </is>
      </c>
    </row>
    <row r="30">
      <c r="A30" s="4" t="n">
        <f>A29+1</f>
        <v>0.0</v>
      </c>
      <c r="B30"/>
      <c r="C30" s="3" t="n">
        <v>45558.0</v>
      </c>
      <c r="D30" s="3" t="n">
        <v>45558.0</v>
      </c>
      <c r="E30" s="1" t="inlineStr">
        <is>
          <t>17</t>
        </is>
      </c>
      <c r="F30" s="1" t="inlineStr">
        <is>
          <t>168231</t>
        </is>
      </c>
      <c r="G30" s="1" t="inlineStr">
        <is>
          <t>Филиал "Сибирский" АО "Райффайзенбанк" в г. Новосибирске, ИНН: 7744000302</t>
        </is>
      </c>
      <c r="H30" s="1" t="inlineStr">
        <is>
          <t>47423810507000534493</t>
        </is>
      </c>
      <c r="I30" s="1" t="inlineStr">
        <is>
          <t>045004799</t>
        </is>
      </c>
      <c r="J30" s="2" t="n">
        <v>148.5</v>
      </c>
      <c r="K30"/>
      <c r="L30" s="1" t="inlineStr">
        <is>
          <t>Комиссия за входящие платежи</t>
        </is>
      </c>
    </row>
    <row r="31">
      <c r="A31" s="4" t="n">
        <f>A30+1</f>
        <v>0.0</v>
      </c>
      <c r="B31"/>
      <c r="C31" s="3" t="n">
        <v>45558.0</v>
      </c>
      <c r="D31" s="3" t="n">
        <v>45558.0</v>
      </c>
      <c r="E31" s="1" t="inlineStr">
        <is>
          <t>01</t>
        </is>
      </c>
      <c r="F31" s="1" t="inlineStr">
        <is>
          <t>5</t>
        </is>
      </c>
      <c r="G31" s="1" t="inlineStr">
        <is>
          <t>ООО "ОЛИМП", ИНН: 2462074498</t>
        </is>
      </c>
      <c r="H31" s="1" t="inlineStr">
        <is>
          <t>40702810423590002548</t>
        </is>
      </c>
      <c r="I31" s="1" t="inlineStr">
        <is>
          <t>045004774</t>
        </is>
      </c>
      <c r="J31" s="2" t="n">
        <v>8000.0</v>
      </c>
      <c r="K31"/>
      <c r="L31" s="1" t="inlineStr">
        <is>
          <t>За услуги грузоперевозки по счету №УТ-78 от 20.09.2024, В том числе НДС 20.00% - 1 333.33</t>
        </is>
      </c>
    </row>
    <row r="32">
      <c r="A32" s="4" t="n">
        <f>A31+1</f>
        <v>0.0</v>
      </c>
      <c r="B32"/>
      <c r="C32" s="3" t="n">
        <v>45558.0</v>
      </c>
      <c r="D32" s="3" t="n">
        <v>45558.0</v>
      </c>
      <c r="E32" s="1" t="inlineStr">
        <is>
          <t>01</t>
        </is>
      </c>
      <c r="F32" s="1" t="inlineStr">
        <is>
          <t>136</t>
        </is>
      </c>
      <c r="G32" s="1" t="inlineStr">
        <is>
          <t>ООО "ШТУРМАН", ИНН: 2460117837</t>
        </is>
      </c>
      <c r="H32" s="1" t="inlineStr">
        <is>
          <t>40702810731000037002</t>
        </is>
      </c>
      <c r="I32" s="1" t="inlineStr">
        <is>
          <t>040407627</t>
        </is>
      </c>
      <c r="J32"/>
      <c r="K32" s="2" t="n">
        <v>15000.0</v>
      </c>
      <c r="L32" s="1" t="inlineStr">
        <is>
          <t>Пополнение расчетного счета, НДС не облагается.</t>
        </is>
      </c>
    </row>
    <row r="33">
      <c r="A33" s="4" t="n">
        <f>A32+1</f>
        <v>0.0</v>
      </c>
      <c r="B33"/>
      <c r="C33" s="3" t="n">
        <v>45565.0</v>
      </c>
      <c r="D33" s="3" t="n">
        <v>45565.0</v>
      </c>
      <c r="E33" s="1" t="inlineStr">
        <is>
          <t>17</t>
        </is>
      </c>
      <c r="F33" s="1" t="inlineStr">
        <is>
          <t>623147</t>
        </is>
      </c>
      <c r="G33" s="1" t="inlineStr">
        <is>
          <t>Филиал "Сибирский" АО "Райффайзенбанк" в г. Новосибирске, ИНН: 7744000302</t>
        </is>
      </c>
      <c r="H33" s="1" t="inlineStr">
        <is>
          <t>47423810507000534493</t>
        </is>
      </c>
      <c r="I33" s="1" t="inlineStr">
        <is>
          <t>045004799</t>
        </is>
      </c>
      <c r="J33" s="2" t="n">
        <v>504.9</v>
      </c>
      <c r="K33"/>
      <c r="L33" s="1" t="inlineStr">
        <is>
          <t>Комиссия за входящие платежи</t>
        </is>
      </c>
    </row>
    <row r="34">
      <c r="A34" s="4" t="n">
        <f>A33+1</f>
        <v>0.0</v>
      </c>
      <c r="B34"/>
      <c r="C34" s="3" t="n">
        <v>45565.0</v>
      </c>
      <c r="D34" s="3" t="n">
        <v>45565.0</v>
      </c>
      <c r="E34" s="1" t="inlineStr">
        <is>
          <t>01</t>
        </is>
      </c>
      <c r="F34" s="1" t="inlineStr">
        <is>
          <t>6</t>
        </is>
      </c>
      <c r="G34" s="1" t="inlineStr">
        <is>
          <t>ООО "КРАСЛЕНТА", ИНН: 2462039951</t>
        </is>
      </c>
      <c r="H34" s="1" t="inlineStr">
        <is>
          <t>40702810504000096380</t>
        </is>
      </c>
      <c r="I34" s="1" t="inlineStr">
        <is>
          <t>045004816</t>
        </is>
      </c>
      <c r="J34" s="2" t="n">
        <v>8293.0</v>
      </c>
      <c r="K34"/>
      <c r="L34" s="1" t="inlineStr">
        <is>
          <t>Оплата за товар по счету №2875 от 30.09.2024, В том числе НДС 20.00% - 1 382.17</t>
        </is>
      </c>
    </row>
    <row r="35">
      <c r="A35" s="4" t="n">
        <f>A34+1</f>
        <v>0.0</v>
      </c>
      <c r="B35"/>
      <c r="C35" s="3" t="n">
        <v>45565.0</v>
      </c>
      <c r="D35" s="3" t="n">
        <v>45565.0</v>
      </c>
      <c r="E35" s="1" t="inlineStr">
        <is>
          <t>01</t>
        </is>
      </c>
      <c r="F35" s="1" t="inlineStr">
        <is>
          <t>81</t>
        </is>
      </c>
      <c r="G35" s="1" t="inlineStr">
        <is>
          <t>ИНДИВИДУАЛЬНЫЙ ПРЕДПРИНИМАТЕЛЬ ЕРМОЛАЕВ АНАТОЛИЙ ВЯЧЕСЛАВОВИЧ, ИНН: 240780102516</t>
        </is>
      </c>
      <c r="H35" s="1" t="inlineStr">
        <is>
          <t>40802810100005404504</t>
        </is>
      </c>
      <c r="I35" s="1" t="inlineStr">
        <is>
          <t>044525974</t>
        </is>
      </c>
      <c r="J35"/>
      <c r="K35" s="2" t="n">
        <v>51000.0</v>
      </c>
      <c r="L35" s="1" t="inlineStr">
        <is>
          <t>Оплата за Автошина Yokohama 235/55R19 101Q iceGuard Studless G075 TL (4шт). Счет на оплату № 120 от 30 сентября 2024 г. В т.ч. НДС 20% ? 8?500 руб</t>
        </is>
      </c>
    </row>
    <row r="36">
      <c r="A36" s="4" t="n">
        <f>A35+1</f>
        <v>0.0</v>
      </c>
      <c r="B36"/>
      <c r="C36" s="3" t="n">
        <v>45567.0</v>
      </c>
      <c r="D36" s="3" t="n">
        <v>45567.0</v>
      </c>
      <c r="E36" s="1" t="inlineStr">
        <is>
          <t>01</t>
        </is>
      </c>
      <c r="F36" s="1" t="inlineStr">
        <is>
          <t>7</t>
        </is>
      </c>
      <c r="G36" s="1" t="inlineStr">
        <is>
          <t>Казначейство России (ФНС России), ИНН: 7727406020</t>
        </is>
      </c>
      <c r="H36" s="1" t="inlineStr">
        <is>
          <t>03100643000000018500</t>
        </is>
      </c>
      <c r="I36" s="1" t="inlineStr">
        <is>
          <t>017003983</t>
        </is>
      </c>
      <c r="J36" s="2" t="n">
        <v>10000.0</v>
      </c>
      <c r="K36"/>
      <c r="L36" s="1" t="inlineStr">
        <is>
          <t>Единый налоговый платеж НДС не облагается</t>
        </is>
      </c>
    </row>
    <row r="37">
      <c r="A37" s="4" t="n">
        <f>A36+1</f>
        <v>0.0</v>
      </c>
      <c r="B37"/>
      <c r="C37" s="3" t="n">
        <v>45569.0</v>
      </c>
      <c r="D37" s="3" t="n">
        <v>45569.0</v>
      </c>
      <c r="E37" s="1" t="inlineStr">
        <is>
          <t>01</t>
        </is>
      </c>
      <c r="F37" s="1" t="inlineStr">
        <is>
          <t>8</t>
        </is>
      </c>
      <c r="G37" s="1" t="inlineStr">
        <is>
          <t>ООО "ОЛИМП", ИНН: 2462074498</t>
        </is>
      </c>
      <c r="H37" s="1" t="inlineStr">
        <is>
          <t>40702810423590002548</t>
        </is>
      </c>
      <c r="I37" s="1" t="inlineStr">
        <is>
          <t>045004774</t>
        </is>
      </c>
      <c r="J37" s="2" t="n">
        <v>5000.0</v>
      </c>
      <c r="K37"/>
      <c r="L37" s="1" t="inlineStr">
        <is>
          <t>За услуги грузоперевозки по счету №УТ-82 от 29.09.2024, В том числе НДС 20.00% - 833.33</t>
        </is>
      </c>
    </row>
    <row r="38">
      <c r="A38" s="4" t="n">
        <f>A37+1</f>
        <v>0.0</v>
      </c>
      <c r="B38"/>
      <c r="C38" s="3" t="n">
        <v>45569.0</v>
      </c>
      <c r="D38" s="3" t="n">
        <v>45569.0</v>
      </c>
      <c r="E38" s="1" t="inlineStr">
        <is>
          <t>01</t>
        </is>
      </c>
      <c r="F38" s="1" t="inlineStr">
        <is>
          <t>9</t>
        </is>
      </c>
      <c r="G38" s="1" t="inlineStr">
        <is>
          <t>ООО "ТЭЙСТИ КОФЕ", ИНН: 1831139275</t>
        </is>
      </c>
      <c r="H38" s="1" t="inlineStr">
        <is>
          <t>40702810329020001153</t>
        </is>
      </c>
      <c r="I38" s="1" t="inlineStr">
        <is>
          <t>042202824</t>
        </is>
      </c>
      <c r="J38" s="2" t="n">
        <v>8269.3</v>
      </c>
      <c r="K38"/>
      <c r="L38" s="1" t="inlineStr">
        <is>
          <t>Оплата за товар по счету №33776 от 04.10.2024, В том числе НДС 20.00% - 1 378.21</t>
        </is>
      </c>
    </row>
    <row r="39">
      <c r="A39" s="4" t="n">
        <f>A38+1</f>
        <v>0.0</v>
      </c>
      <c r="B39"/>
      <c r="C39" s="3" t="n">
        <v>45579.0</v>
      </c>
      <c r="D39" s="3" t="n">
        <v>45579.0</v>
      </c>
      <c r="E39" s="1" t="inlineStr">
        <is>
          <t>01</t>
        </is>
      </c>
      <c r="F39" s="1" t="inlineStr">
        <is>
          <t>10</t>
        </is>
      </c>
      <c r="G39" s="1" t="inlineStr">
        <is>
          <t>ООО "ОЛИМП", ИНН: 2462074498</t>
        </is>
      </c>
      <c r="H39" s="1" t="inlineStr">
        <is>
          <t>40702810423590002548</t>
        </is>
      </c>
      <c r="I39" s="1" t="inlineStr">
        <is>
          <t>045004774</t>
        </is>
      </c>
      <c r="J39" s="2" t="n">
        <v>3000.0</v>
      </c>
      <c r="K39"/>
      <c r="L39" s="1" t="inlineStr">
        <is>
          <t>За услуги грузоперевозки по счету №УТ-93 от 11.10.2024, В том числе НДС 20.00% - 500.00</t>
        </is>
      </c>
    </row>
    <row r="40">
      <c r="A40" s="4" t="n">
        <f>A39+1</f>
        <v>0.0</v>
      </c>
      <c r="B40"/>
      <c r="C40" s="3" t="n">
        <v>45579.0</v>
      </c>
      <c r="D40" s="3" t="n">
        <v>45579.0</v>
      </c>
      <c r="E40" s="1" t="inlineStr">
        <is>
          <t>01</t>
        </is>
      </c>
      <c r="F40" s="1" t="inlineStr">
        <is>
          <t>12</t>
        </is>
      </c>
      <c r="G40" s="1" t="inlineStr">
        <is>
          <t>ООО "МЕДВЕДЬ АТЦ", ИНН: 2465059071</t>
        </is>
      </c>
      <c r="H40" s="1" t="inlineStr">
        <is>
          <t>40702810075310000759</t>
        </is>
      </c>
      <c r="I40" s="1" t="inlineStr">
        <is>
          <t>040407388</t>
        </is>
      </c>
      <c r="J40" s="2" t="n">
        <v>3143.0</v>
      </c>
      <c r="K40"/>
      <c r="L40" s="1" t="inlineStr">
        <is>
          <t>За обслуживание ТС по Счету №КМА0001750 от 14.10.2024, В том числе НДС 20.00% - 523.83</t>
        </is>
      </c>
    </row>
    <row r="41">
      <c r="A41" s="4" t="n">
        <f>A40+1</f>
        <v>0.0</v>
      </c>
      <c r="B41"/>
      <c r="C41" s="3" t="n">
        <v>45579.0</v>
      </c>
      <c r="D41" s="3" t="n">
        <v>45579.0</v>
      </c>
      <c r="E41" s="1" t="inlineStr">
        <is>
          <t>01</t>
        </is>
      </c>
      <c r="F41" s="1" t="inlineStr">
        <is>
          <t>11</t>
        </is>
      </c>
      <c r="G41" s="1" t="inlineStr">
        <is>
          <t>ООО "МЕДВЕДЬ АТЦ", ИНН: 2465059071</t>
        </is>
      </c>
      <c r="H41" s="1" t="inlineStr">
        <is>
          <t>40702810075310000759</t>
        </is>
      </c>
      <c r="I41" s="1" t="inlineStr">
        <is>
          <t>040407388</t>
        </is>
      </c>
      <c r="J41" s="2" t="n">
        <v>3498.0</v>
      </c>
      <c r="K41"/>
      <c r="L41" s="1" t="inlineStr">
        <is>
          <t>За услуги хранения по Счету №КМА0001749 от 14.10.2024, в том числе НДС 20.00% - 583.00</t>
        </is>
      </c>
    </row>
    <row r="42">
      <c r="A42" s="4" t="n">
        <f>A41+1</f>
        <v>0.0</v>
      </c>
      <c r="B42"/>
      <c r="C42" s="3" t="n">
        <v>45587.0</v>
      </c>
      <c r="D42" s="3" t="n">
        <v>45587.0</v>
      </c>
      <c r="E42" s="1" t="inlineStr">
        <is>
          <t>01</t>
        </is>
      </c>
      <c r="F42" s="1" t="inlineStr">
        <is>
          <t>13</t>
        </is>
      </c>
      <c r="G42" s="1" t="inlineStr">
        <is>
          <t>ООО "СДЭК-ГЛОБАЛ", ИНН: 7722327689</t>
        </is>
      </c>
      <c r="H42" s="1" t="inlineStr">
        <is>
          <t>40702810723000005023</t>
        </is>
      </c>
      <c r="I42" s="1" t="inlineStr">
        <is>
          <t>045004774</t>
        </is>
      </c>
      <c r="J42" s="2" t="n">
        <v>774.0</v>
      </c>
      <c r="K42"/>
      <c r="L42" s="1" t="inlineStr">
        <is>
          <t>За услуги доставки по счету №СЧ-ГЛ812910 от 20.10.2024, В том числе НДС 20.00% - 129.00</t>
        </is>
      </c>
    </row>
    <row r="43">
      <c r="A43" s="4" t="n">
        <f>A42+1</f>
        <v>0.0</v>
      </c>
      <c r="B43"/>
      <c r="C43" s="3" t="n">
        <v>45588.0</v>
      </c>
      <c r="D43" s="3" t="n">
        <v>45588.0</v>
      </c>
      <c r="E43" s="1" t="inlineStr">
        <is>
          <t>01</t>
        </is>
      </c>
      <c r="F43" s="1" t="inlineStr">
        <is>
          <t>14</t>
        </is>
      </c>
      <c r="G43" s="1" t="inlineStr">
        <is>
          <t>ООО "ДЕЛОВЫЕ ЛИНИИ", ИНН: 7826156685</t>
        </is>
      </c>
      <c r="H43" s="1" t="inlineStr">
        <is>
          <t>40702810432000001751</t>
        </is>
      </c>
      <c r="I43" s="1" t="inlineStr">
        <is>
          <t>044030786</t>
        </is>
      </c>
      <c r="J43" s="2" t="n">
        <v>279.0</v>
      </c>
      <c r="K43"/>
      <c r="L43" s="1" t="inlineStr">
        <is>
          <t>За услуги по организации доставки по Счету №24-00505008312 от 23.10.24, В том числе НДС 20.00% - 41.50</t>
        </is>
      </c>
    </row>
    <row r="44">
      <c r="A44" s="4" t="n">
        <f>A43+1</f>
        <v>0.0</v>
      </c>
      <c r="B44"/>
      <c r="C44" s="3" t="n">
        <v>45598.0</v>
      </c>
      <c r="D44" s="3" t="n">
        <v>45598.0</v>
      </c>
      <c r="E44" s="1" t="inlineStr">
        <is>
          <t>01</t>
        </is>
      </c>
      <c r="F44" s="1" t="inlineStr">
        <is>
          <t>15</t>
        </is>
      </c>
      <c r="G44" s="1" t="inlineStr">
        <is>
          <t>ООО "ОЛИМП", ИНН: 2462074498</t>
        </is>
      </c>
      <c r="H44" s="1" t="inlineStr">
        <is>
          <t>40702810423590002548</t>
        </is>
      </c>
      <c r="I44" s="1" t="inlineStr">
        <is>
          <t>045004774</t>
        </is>
      </c>
      <c r="J44" s="2" t="n">
        <v>4500.0</v>
      </c>
      <c r="K44"/>
      <c r="L44" s="1" t="inlineStr">
        <is>
          <t>За услуги грузоперевозки по УПД №УТ-82574 от 13.10.2024, УПД №УТ-82575 от 20.10.2024, В том числе НДС 20.00% - 750.00</t>
        </is>
      </c>
    </row>
    <row r="45">
      <c r="A45" s="4" t="n">
        <f>A44+1</f>
        <v>0.0</v>
      </c>
      <c r="B45"/>
      <c r="C45" s="3" t="n">
        <v>45601.0</v>
      </c>
      <c r="D45" s="3" t="n">
        <v>45601.0</v>
      </c>
      <c r="E45" s="1" t="inlineStr">
        <is>
          <t>01</t>
        </is>
      </c>
      <c r="F45" s="1" t="inlineStr">
        <is>
          <t>16</t>
        </is>
      </c>
      <c r="G45" s="1" t="inlineStr">
        <is>
          <t>ООО "ГАРАНТ-94", ИНН: 2465000342</t>
        </is>
      </c>
      <c r="H45" s="1" t="inlineStr">
        <is>
          <t>40702810000600000642</t>
        </is>
      </c>
      <c r="I45" s="1" t="inlineStr">
        <is>
          <t>044525411</t>
        </is>
      </c>
      <c r="J45" s="2" t="n">
        <v>9000.0</v>
      </c>
      <c r="K45"/>
      <c r="L45" s="1" t="inlineStr">
        <is>
          <t>Оплата за аренду нежилого помещения за ноябрь 2024г. по Договору №66 от 30.10.2024, НДС не облагается</t>
        </is>
      </c>
    </row>
    <row r="46">
      <c r="A46" s="4" t="n">
        <f>A45+1</f>
        <v>0.0</v>
      </c>
      <c r="B46"/>
      <c r="C46" s="3" t="n">
        <v>45608.0</v>
      </c>
      <c r="D46" s="3" t="n">
        <v>45608.0</v>
      </c>
      <c r="E46" s="1" t="inlineStr">
        <is>
          <t>01</t>
        </is>
      </c>
      <c r="F46" s="1" t="inlineStr">
        <is>
          <t>17</t>
        </is>
      </c>
      <c r="G46" s="1" t="inlineStr">
        <is>
          <t>ООО "ДЕЛОВЫЕ ЛИНИИ", ИНН: 7826156685</t>
        </is>
      </c>
      <c r="H46" s="1" t="inlineStr">
        <is>
          <t>40702810300000005465</t>
        </is>
      </c>
      <c r="I46" s="1" t="inlineStr">
        <is>
          <t>044030861</t>
        </is>
      </c>
      <c r="J46" s="2" t="n">
        <v>294.0</v>
      </c>
      <c r="K46"/>
      <c r="L46" s="1" t="inlineStr">
        <is>
          <t>За услуги по организации доставки по счету №24-01115023901 от 05.11.2024, В том числе НДС 20.00% - 44.00</t>
        </is>
      </c>
    </row>
    <row r="47">
      <c r="A47" s="4" t="n">
        <f>A46+1</f>
        <v>0.0</v>
      </c>
      <c r="B47"/>
      <c r="C47" s="3" t="n">
        <v>45630.0</v>
      </c>
      <c r="D47" s="3" t="n">
        <v>45630.0</v>
      </c>
      <c r="E47" s="1" t="inlineStr">
        <is>
          <t>01</t>
        </is>
      </c>
      <c r="F47" s="1" t="inlineStr">
        <is>
          <t>72318</t>
        </is>
      </c>
      <c r="G47" s="1" t="inlineStr">
        <is>
          <t>ТОО ДИШ ДИСКИ И ШИНЫ , БИН240440030596, Г.АСТАНА, ПРОСПЕКТ РАКЫМЖАН КОШКАРБАЕВ, 10/1, К.Н.П. 18, 'KZ' KZ66722S000036833046 в АО "Каспи Банк" АО, ИНН: 9909114548</t>
        </is>
      </c>
      <c r="H47" s="1" t="inlineStr">
        <is>
          <t>30111810000000000079</t>
        </is>
      </c>
      <c r="I47" s="1" t="inlineStr">
        <is>
          <t>044525700</t>
        </is>
      </c>
      <c r="J47"/>
      <c r="K47" s="2" t="n">
        <v>183221.39</v>
      </c>
      <c r="L47" s="1" t="inlineStr">
        <is>
          <t>{VO10100} СОГЛ СЧ 72 ОТ 06.07.2024, КОРСЧ 30101810300000000799, ОПЛАТА ЗА ТОВАР КОЛЕСНЫЕ ДИСКИ КОД ТНВЭД 8708705009</t>
        </is>
      </c>
    </row>
    <row r="48">
      <c r="A48" s="4" t="n">
        <f>A47+1</f>
        <v>0.0</v>
      </c>
      <c r="B48"/>
      <c r="C48" s="3" t="n">
        <v>45631.0</v>
      </c>
      <c r="D48" s="3" t="n">
        <v>45631.0</v>
      </c>
      <c r="E48" s="1" t="inlineStr">
        <is>
          <t>01</t>
        </is>
      </c>
      <c r="F48" s="1" t="inlineStr">
        <is>
          <t>18</t>
        </is>
      </c>
      <c r="G48" s="1" t="inlineStr">
        <is>
          <t>ООО "ХОМЕН ВИЛС", ИНН: 7017446406</t>
        </is>
      </c>
      <c r="H48" s="1" t="inlineStr">
        <is>
          <t>40702810204000033559</t>
        </is>
      </c>
      <c r="I48" s="1" t="inlineStr">
        <is>
          <t>045004816</t>
        </is>
      </c>
      <c r="J48" s="2" t="n">
        <v>182000.0</v>
      </c>
      <c r="K48"/>
      <c r="L48" s="1" t="inlineStr">
        <is>
          <t>Оплата за колесные диски по договору поставки №ХВ-ШТУРМАН/01-01-2024 от 01.01.24, УПД №241202-002 от 02.12.2024, УПД №241130-022 от 30.11.2024, в том числе НДС 20.00% - 30 333.33</t>
        </is>
      </c>
    </row>
    <row r="49">
      <c r="A49" s="4" t="n">
        <f>A48+1</f>
        <v>0.0</v>
      </c>
      <c r="B49"/>
      <c r="C49" s="3" t="n">
        <v>45642.0</v>
      </c>
      <c r="D49" s="3" t="n">
        <v>45642.0</v>
      </c>
      <c r="E49" s="1" t="inlineStr">
        <is>
          <t>01</t>
        </is>
      </c>
      <c r="F49" s="1" t="inlineStr">
        <is>
          <t>19</t>
        </is>
      </c>
      <c r="G49" s="1" t="inlineStr">
        <is>
          <t>ООО "СДЭК-ГЛОБАЛ", ИНН: 7722327689</t>
        </is>
      </c>
      <c r="H49" s="1" t="inlineStr">
        <is>
          <t>40702810723000005023</t>
        </is>
      </c>
      <c r="I49" s="1" t="inlineStr">
        <is>
          <t>045004774</t>
        </is>
      </c>
      <c r="J49" s="2" t="n">
        <v>696.0</v>
      </c>
      <c r="K49"/>
      <c r="L49" s="1" t="inlineStr">
        <is>
          <t>За услуги доставки по договору № ИМ-РФ-ПСП-3284 от 01.03.2022г, по счету №СЧ-ГЛ927236 от 15.12.2024, В том числе НДС 20.00% - 116.00</t>
        </is>
      </c>
    </row>
    <row r="50">
      <c r="A50" s="4" t="n">
        <f>A49+1</f>
        <v>0.0</v>
      </c>
      <c r="B50"/>
      <c r="C50" s="3" t="n">
        <v>45747.0</v>
      </c>
      <c r="D50" s="3" t="n">
        <v>45747.0</v>
      </c>
      <c r="E50" s="1" t="inlineStr">
        <is>
          <t>01</t>
        </is>
      </c>
      <c r="F50" s="1" t="inlineStr">
        <is>
          <t>17236</t>
        </is>
      </c>
      <c r="G50" s="1" t="inlineStr">
        <is>
          <t>ТОО ДИШ ДИСКИ И ШИНЫ , БИН240440030596, Г.АСТАНА, ПРОСПЕКТ РАКЫМЖАН КОШКАРБАЕВ, 10/1, К.Н.П. 18, 'KZ' KZ66722S000036833046 в АО "Каспи Банк" АО, ИНН: 9909114548</t>
        </is>
      </c>
      <c r="H50" s="1" t="inlineStr">
        <is>
          <t>30111810000000000079</t>
        </is>
      </c>
      <c r="I50" s="1" t="inlineStr">
        <is>
          <t>044525700</t>
        </is>
      </c>
      <c r="J50"/>
      <c r="K50" s="2" t="n">
        <v>156269.99</v>
      </c>
      <c r="L50" s="1" t="inlineStr">
        <is>
          <t>{VO10100} СОГЛ СЧ 111 ОТ 10.09.2024, КОРСЧ 30101810300000000799, ОПЛАТА ЗА ТОВАР КОЛЕСНЫЕ ДИСКИ КОД ТНВЭД 8708705009</t>
        </is>
      </c>
    </row>
    <row r="51">
      <c r="A51" s="4" t="n">
        <f>A50+1</f>
        <v>0.0</v>
      </c>
      <c r="B51"/>
      <c r="C51" s="3" t="n">
        <v>45761.0</v>
      </c>
      <c r="D51" s="3" t="n">
        <v>45761.0</v>
      </c>
      <c r="E51" s="1" t="inlineStr">
        <is>
          <t>01</t>
        </is>
      </c>
      <c r="F51" s="1" t="inlineStr">
        <is>
          <t>1</t>
        </is>
      </c>
      <c r="G51" s="1" t="inlineStr">
        <is>
          <t>ООО "ОЛИМП", ИНН: 2462074498</t>
        </is>
      </c>
      <c r="H51" s="1" t="inlineStr">
        <is>
          <t>40702810423590002548</t>
        </is>
      </c>
      <c r="I51" s="1" t="inlineStr">
        <is>
          <t>045004774</t>
        </is>
      </c>
      <c r="J51" s="2" t="n">
        <v>6500.0</v>
      </c>
      <c r="K51"/>
      <c r="L51" s="1" t="inlineStr">
        <is>
          <t>За услуги грузоперевозки по Счету №УТ-24 от 08.04.2025, В том числе НДС 20.00% - 1 083.33</t>
        </is>
      </c>
    </row>
    <row r="52">
      <c r="A52" s="4" t="n">
        <f>A51+1</f>
        <v>0.0</v>
      </c>
      <c r="B52"/>
      <c r="C52" s="3" t="n">
        <v>45769.0</v>
      </c>
      <c r="D52" s="3" t="n">
        <v>45769.0</v>
      </c>
      <c r="E52" s="1" t="inlineStr">
        <is>
          <t>01</t>
        </is>
      </c>
      <c r="F52" s="1" t="inlineStr">
        <is>
          <t>2</t>
        </is>
      </c>
      <c r="G52" s="1" t="inlineStr">
        <is>
          <t>ООО "СДЭК-ГЛОБАЛ", ИНН: 7722327689</t>
        </is>
      </c>
      <c r="H52" s="1" t="inlineStr">
        <is>
          <t>40702810723000005023</t>
        </is>
      </c>
      <c r="I52" s="1" t="inlineStr">
        <is>
          <t>045004774</t>
        </is>
      </c>
      <c r="J52" s="2" t="n">
        <v>480.9</v>
      </c>
      <c r="K52"/>
      <c r="L52" s="1" t="inlineStr">
        <is>
          <t>За услуги доставки по договору № ИМ-РФ-ПСП-3284 от 01.03.2022г, по счету №СЧ-ГЛ1189349 от 20.04.2025, В том числе НДС 20.00% - 80.15</t>
        </is>
      </c>
    </row>
    <row r="53">
      <c r="A53" s="4" t="n">
        <f>A52+1</f>
        <v>0.0</v>
      </c>
      <c r="B53"/>
      <c r="C53" s="3" t="n">
        <v>45769.0</v>
      </c>
      <c r="D53" s="3" t="n">
        <v>45769.0</v>
      </c>
      <c r="E53" s="1" t="inlineStr">
        <is>
          <t>01</t>
        </is>
      </c>
      <c r="F53" s="1" t="inlineStr">
        <is>
          <t>3</t>
        </is>
      </c>
      <c r="G53" s="1" t="inlineStr">
        <is>
          <t>ООО "ОЛИМП", ИНН: 2462074498</t>
        </is>
      </c>
      <c r="H53" s="1" t="inlineStr">
        <is>
          <t>40702810423590002548</t>
        </is>
      </c>
      <c r="I53" s="1" t="inlineStr">
        <is>
          <t>045004774</t>
        </is>
      </c>
      <c r="J53" s="2" t="n">
        <v>3500.0</v>
      </c>
      <c r="K53"/>
      <c r="L53" s="1" t="inlineStr">
        <is>
          <t>За услуги грузоперевозки по Счету №УТ-28 от 18.04.2025, В том числе НДС 20.00% - 583.33</t>
        </is>
      </c>
    </row>
    <row r="54">
      <c r="A54" s="4" t="n">
        <f>A53+1</f>
        <v>0.0</v>
      </c>
      <c r="B54"/>
      <c r="C54" s="3" t="n">
        <v>45769.0</v>
      </c>
      <c r="D54" s="3" t="n">
        <v>45769.0</v>
      </c>
      <c r="E54" s="1" t="inlineStr">
        <is>
          <t>01</t>
        </is>
      </c>
      <c r="F54" s="1" t="inlineStr">
        <is>
          <t>4</t>
        </is>
      </c>
      <c r="G54" s="1" t="inlineStr">
        <is>
          <t>ООО "ХОМЕН ВИЛС", ИНН: 7017446406</t>
        </is>
      </c>
      <c r="H54" s="1" t="inlineStr">
        <is>
          <t>40702810204000033559</t>
        </is>
      </c>
      <c r="I54" s="1" t="inlineStr">
        <is>
          <t>045004816</t>
        </is>
      </c>
      <c r="J54" s="2" t="n">
        <v>246400.0</v>
      </c>
      <c r="K54"/>
      <c r="L54" s="1" t="inlineStr">
        <is>
          <t>Оплата за колесные диски по договору поставки № ХВ- ШТУРМАН/01-01-2024 от01.01.24, УПД №250417-001 от 17.04.25, УПД №250421-001 от 21.04.25, В том числе НДС 20.00% - 41 066.67</t>
        </is>
      </c>
    </row>
    <row r="55">
      <c r="A55" s="4" t="n">
        <f>A54+1</f>
        <v>0.0</v>
      </c>
      <c r="B55"/>
      <c r="C55" s="3" t="n">
        <v>45769.0</v>
      </c>
      <c r="D55" s="3" t="n">
        <v>45769.0</v>
      </c>
      <c r="E55" s="1" t="inlineStr">
        <is>
          <t>01</t>
        </is>
      </c>
      <c r="F55" s="1" t="inlineStr">
        <is>
          <t>64898</t>
        </is>
      </c>
      <c r="G55" s="1" t="inlineStr">
        <is>
          <t>ТОО ДИШ ДИСКИ И ШИНЫ , БИН240440030596, Г.АСТАНА, ПРОСПЕКТ РАКЫМЖАН КОШКАРБАЕВ, 10/1, К.Н.П. 18, 'KZ' KZ66722S000036833046 в АО "Каспи Банк" АО, ИНН: 9909114548</t>
        </is>
      </c>
      <c r="H55" s="1" t="inlineStr">
        <is>
          <t>30111810000000000079</t>
        </is>
      </c>
      <c r="I55" s="1" t="inlineStr">
        <is>
          <t>044525700</t>
        </is>
      </c>
      <c r="J55"/>
      <c r="K55" s="2" t="n">
        <v>197802.0</v>
      </c>
      <c r="L55" s="1" t="inlineStr">
        <is>
          <t>{VO10100} СОГЛ СЧ 158 ОТ 12.12.2024, КОРСЧ 30101810300000000799, ОПЛАТА ЗА ТОВАР КОЛЕСНЫЕ ДИСКИ КОД ТНВЭД 8708705009</t>
        </is>
      </c>
    </row>
    <row r="56">
      <c r="A56" s="4" t="n">
        <f>A55+1</f>
        <v>0.0</v>
      </c>
      <c r="B56"/>
      <c r="C56" s="3" t="n">
        <v>45775.0</v>
      </c>
      <c r="D56" s="3" t="n">
        <v>45775.0</v>
      </c>
      <c r="E56" s="1" t="inlineStr">
        <is>
          <t>01</t>
        </is>
      </c>
      <c r="F56" s="1" t="inlineStr">
        <is>
          <t>5</t>
        </is>
      </c>
      <c r="G56" s="1" t="inlineStr">
        <is>
          <t>ООО "ГАРАНТ-94", ИНН: 2465000342</t>
        </is>
      </c>
      <c r="H56" s="1" t="inlineStr">
        <is>
          <t>40702810000600000642</t>
        </is>
      </c>
      <c r="I56" s="1" t="inlineStr">
        <is>
          <t>044525411</t>
        </is>
      </c>
      <c r="J56" s="2" t="n">
        <v>9000.0</v>
      </c>
      <c r="K56"/>
      <c r="L56" s="1" t="inlineStr">
        <is>
          <t>Оплата за аренду нежилого помещения за май 2025г. по Договору №66 от 30.10.2024, НДС не облагается</t>
        </is>
      </c>
    </row>
    <row r="57">
      <c r="A57" s="4" t="n">
        <f>A56+1</f>
        <v>0.0</v>
      </c>
      <c r="B57"/>
      <c r="C57" s="3" t="n">
        <v>45775.0</v>
      </c>
      <c r="D57" s="3" t="n">
        <v>45775.0</v>
      </c>
      <c r="E57" s="1" t="inlineStr">
        <is>
          <t>01</t>
        </is>
      </c>
      <c r="F57" s="1" t="inlineStr">
        <is>
          <t>6</t>
        </is>
      </c>
      <c r="G57" s="1" t="inlineStr">
        <is>
          <t>ООО "ГАРАНТ-8", ИНН: 2460210240</t>
        </is>
      </c>
      <c r="H57" s="1" t="inlineStr">
        <is>
          <t>40702810100600002320</t>
        </is>
      </c>
      <c r="I57" s="1" t="inlineStr">
        <is>
          <t>044525411</t>
        </is>
      </c>
      <c r="J57" s="2" t="n">
        <v>22000.0</v>
      </c>
      <c r="K57"/>
      <c r="L57" s="1" t="inlineStr">
        <is>
          <t>Оплата за аренду нежилого помещения за май 2025 по Договору №16 на аренду нежилого помещения от 31.07.2024, . НДС не облагается</t>
        </is>
      </c>
    </row>
    <row r="58">
      <c r="A58" s="4" t="n">
        <f>A57+1</f>
        <v>0.0</v>
      </c>
      <c r="B58"/>
      <c r="C58" s="3" t="n">
        <v>45776.0</v>
      </c>
      <c r="D58" s="3" t="n">
        <v>45776.0</v>
      </c>
      <c r="E58" s="1" t="inlineStr">
        <is>
          <t>01</t>
        </is>
      </c>
      <c r="F58" s="1" t="inlineStr">
        <is>
          <t>7</t>
        </is>
      </c>
      <c r="G58" s="1" t="inlineStr">
        <is>
          <t>ООО "СДЭК-ГЛОБАЛ", ИНН: 7722327689</t>
        </is>
      </c>
      <c r="H58" s="1" t="inlineStr">
        <is>
          <t>40702810723000005023</t>
        </is>
      </c>
      <c r="I58" s="1" t="inlineStr">
        <is>
          <t>045004774</t>
        </is>
      </c>
      <c r="J58" s="2" t="n">
        <v>1290.9</v>
      </c>
      <c r="K58"/>
      <c r="L58" s="1" t="inlineStr">
        <is>
          <t>За услуги доставки по договору № ИМ-РФ-ПСП-3284 от 01.03.2022г, по счету №СЧ-ГЛ1201888 от 27.04.2025, В том числе НДС 20.00% - 215.15</t>
        </is>
      </c>
    </row>
    <row r="59">
      <c r="A59" s="4" t="n">
        <f>A58+1</f>
        <v>0.0</v>
      </c>
      <c r="B59"/>
      <c r="C59" s="3" t="n">
        <v>45791.0</v>
      </c>
      <c r="D59" s="3" t="n">
        <v>45791.0</v>
      </c>
      <c r="E59" s="1" t="inlineStr">
        <is>
          <t>01</t>
        </is>
      </c>
      <c r="F59" s="1" t="inlineStr">
        <is>
          <t>8</t>
        </is>
      </c>
      <c r="G59" s="1" t="inlineStr">
        <is>
          <t>Пашкевич Алексей Владимирович, ИНН: 246307622300</t>
        </is>
      </c>
      <c r="H59" s="1" t="inlineStr">
        <is>
          <t>40817810631006046998</t>
        </is>
      </c>
      <c r="I59" s="1" t="inlineStr">
        <is>
          <t>040407627</t>
        </is>
      </c>
      <c r="J59" s="2" t="n">
        <v>30000.0</v>
      </c>
      <c r="K59"/>
      <c r="L59" s="1" t="inlineStr">
        <is>
          <t>Выплата по Договору аренды транспортного средства №2 от 29.12.2023 за Апрель 2025 года, НДС не облагается</t>
        </is>
      </c>
    </row>
    <row r="60">
      <c r="A60" s="4" t="n">
        <f>A59+1</f>
        <v>0.0</v>
      </c>
      <c r="B60"/>
      <c r="C60" s="3" t="n">
        <v>45797.0</v>
      </c>
      <c r="D60" s="3" t="n">
        <v>45797.0</v>
      </c>
      <c r="E60" s="1" t="inlineStr">
        <is>
          <t>01</t>
        </is>
      </c>
      <c r="F60" s="1" t="inlineStr">
        <is>
          <t>9</t>
        </is>
      </c>
      <c r="G60" s="1" t="inlineStr">
        <is>
          <t>ООО "ОЛИМП", ИНН: 2462074498</t>
        </is>
      </c>
      <c r="H60" s="1" t="inlineStr">
        <is>
          <t>40702810423590002548</t>
        </is>
      </c>
      <c r="I60" s="1" t="inlineStr">
        <is>
          <t>045004774</t>
        </is>
      </c>
      <c r="J60" s="2" t="n">
        <v>6000.0</v>
      </c>
      <c r="K60"/>
      <c r="L60" s="1" t="inlineStr">
        <is>
          <t>За услуги грузоперевозки по Счету №УТ-34 от 19.05.2025, Счету №УТ-33 от 19.05.2025, В том числе НДС 20.00% - 1 000.00</t>
        </is>
      </c>
    </row>
    <row r="61">
      <c r="A61" s="4" t="n">
        <f>A60+1</f>
        <v>0.0</v>
      </c>
      <c r="B61"/>
      <c r="C61" s="3" t="n">
        <v>45810.0</v>
      </c>
      <c r="D61" s="3" t="n">
        <v>45810.0</v>
      </c>
      <c r="E61" s="1" t="inlineStr">
        <is>
          <t>01</t>
        </is>
      </c>
      <c r="F61" s="1" t="inlineStr">
        <is>
          <t>10</t>
        </is>
      </c>
      <c r="G61" s="1" t="inlineStr">
        <is>
          <t>ООО "СДЭК-ГЛОБАЛ", ИНН: 7722327689</t>
        </is>
      </c>
      <c r="H61" s="1" t="inlineStr">
        <is>
          <t>40702810723000005023</t>
        </is>
      </c>
      <c r="I61" s="1" t="inlineStr">
        <is>
          <t>045004774</t>
        </is>
      </c>
      <c r="J61" s="2" t="n">
        <v>1044.0</v>
      </c>
      <c r="K61"/>
      <c r="L61" s="1" t="inlineStr">
        <is>
          <t>За услуги доставки по договору № ИМ-РФ-ПСП-3284 от 01.03.2022г, по счету №СЧ-ГЛ1265167 от 31.05.2025, В том числе НДС 20.00% - 174.00</t>
        </is>
      </c>
    </row>
    <row r="62">
      <c r="A62" s="4" t="n">
        <f>A61+1</f>
        <v>0.0</v>
      </c>
      <c r="B62"/>
      <c r="C62" s="3" t="n">
        <v>45810.0</v>
      </c>
      <c r="D62" s="3" t="n">
        <v>45810.0</v>
      </c>
      <c r="E62" s="1" t="inlineStr">
        <is>
          <t>01</t>
        </is>
      </c>
      <c r="F62" s="1" t="inlineStr">
        <is>
          <t>12</t>
        </is>
      </c>
      <c r="G62" s="1" t="inlineStr">
        <is>
          <t>ООО "ГАРАНТ-94", ИНН: 2465000342</t>
        </is>
      </c>
      <c r="H62" s="1" t="inlineStr">
        <is>
          <t>40702810000600000642</t>
        </is>
      </c>
      <c r="I62" s="1" t="inlineStr">
        <is>
          <t>044525411</t>
        </is>
      </c>
      <c r="J62" s="2" t="n">
        <v>9000.0</v>
      </c>
      <c r="K62"/>
      <c r="L62" s="1" t="inlineStr">
        <is>
          <t>Оплата за аренду нежилого помещения за июнь 2025г. по Договору №66 от 30.10.2024, НДС не облагается</t>
        </is>
      </c>
    </row>
    <row r="63">
      <c r="A63" s="4" t="n">
        <f>A62+1</f>
        <v>0.0</v>
      </c>
      <c r="B63"/>
      <c r="C63" s="3" t="n">
        <v>45810.0</v>
      </c>
      <c r="D63" s="3" t="n">
        <v>45810.0</v>
      </c>
      <c r="E63" s="1" t="inlineStr">
        <is>
          <t>01</t>
        </is>
      </c>
      <c r="F63" s="1" t="inlineStr">
        <is>
          <t>11</t>
        </is>
      </c>
      <c r="G63" s="1" t="inlineStr">
        <is>
          <t>ООО "ЛМЗ "СКАД", ИНН: 2465072918</t>
        </is>
      </c>
      <c r="H63" s="1" t="inlineStr">
        <is>
          <t>40702810900000092300</t>
        </is>
      </c>
      <c r="I63" s="1" t="inlineStr">
        <is>
          <t>044525823</t>
        </is>
      </c>
      <c r="J63" s="2" t="n">
        <v>17000.0</v>
      </c>
      <c r="K63"/>
      <c r="L63" s="1" t="inlineStr">
        <is>
          <t>Оплата за товар по счету №7241 от 29.05.2025, В том числе НДС 20.00% - 2 833.33</t>
        </is>
      </c>
    </row>
    <row r="64">
      <c r="A64" s="4" t="n">
        <f>A63+1</f>
        <v>0.0</v>
      </c>
      <c r="B64"/>
      <c r="C64" s="3" t="n">
        <v>45848.0</v>
      </c>
      <c r="D64" s="3" t="n">
        <v>45848.0</v>
      </c>
      <c r="E64" s="1" t="inlineStr">
        <is>
          <t>01</t>
        </is>
      </c>
      <c r="F64" s="1" t="inlineStr">
        <is>
          <t>13</t>
        </is>
      </c>
      <c r="G64" s="1" t="inlineStr">
        <is>
          <t>ООО "ОЛИМП", ИНН: 2462074498</t>
        </is>
      </c>
      <c r="H64" s="1" t="inlineStr">
        <is>
          <t>40702810423590002548</t>
        </is>
      </c>
      <c r="I64" s="1" t="inlineStr">
        <is>
          <t>045004774</t>
        </is>
      </c>
      <c r="J64" s="2" t="n">
        <v>3000.0</v>
      </c>
      <c r="K64"/>
      <c r="L64" s="1" t="inlineStr">
        <is>
          <t>За услуги грузоперевозки по Счету №УТ-53 от 08.07.2025, В том числе НДС 20.00% - 500.00</t>
        </is>
      </c>
    </row>
    <row r="65">
      <c r="A65" s="4" t="n">
        <f>A64+1</f>
        <v>0.0</v>
      </c>
      <c r="B65"/>
      <c r="C65" s="3" t="n">
        <v>45861.0</v>
      </c>
      <c r="D65" s="3" t="n">
        <v>45861.0</v>
      </c>
      <c r="E65" s="1" t="inlineStr">
        <is>
          <t>17</t>
        </is>
      </c>
      <c r="F65" s="1" t="inlineStr">
        <is>
          <t>36093</t>
        </is>
      </c>
      <c r="G65" s="1" t="inlineStr">
        <is>
          <t>Филиал "Сибирский" АО "Райффайзенбанк" в г. Новосибирске, ИНН: 7744000302</t>
        </is>
      </c>
      <c r="H65" s="1" t="inlineStr">
        <is>
          <t>47423810507000534493</t>
        </is>
      </c>
      <c r="I65" s="1" t="inlineStr">
        <is>
          <t>045004799</t>
        </is>
      </c>
      <c r="J65" s="2" t="n">
        <v>990.0</v>
      </c>
      <c r="K65"/>
      <c r="L65" s="1" t="inlineStr">
        <is>
          <t>Комиссия за входящие платежи</t>
        </is>
      </c>
    </row>
    <row r="66">
      <c r="A66" s="4" t="n">
        <f>A65+1</f>
        <v>0.0</v>
      </c>
      <c r="B66"/>
      <c r="C66" s="3" t="n">
        <v>45861.0</v>
      </c>
      <c r="D66" s="3" t="n">
        <v>45861.0</v>
      </c>
      <c r="E66" s="1" t="inlineStr">
        <is>
          <t>01</t>
        </is>
      </c>
      <c r="F66" s="1" t="inlineStr">
        <is>
          <t>15</t>
        </is>
      </c>
      <c r="G66" s="1" t="inlineStr">
        <is>
          <t>Пашкевич Алексей Владимирович, ИНН: 246307622300</t>
        </is>
      </c>
      <c r="H66" s="1" t="inlineStr">
        <is>
          <t>40817810631006046998</t>
        </is>
      </c>
      <c r="I66" s="1" t="inlineStr">
        <is>
          <t>040407627</t>
        </is>
      </c>
      <c r="J66" s="2" t="n">
        <v>15449.76</v>
      </c>
      <c r="K66"/>
      <c r="L66" s="1" t="inlineStr">
        <is>
          <t>Возмещение подотчетных сумм на хозяйственные цели, НДС не облагается</t>
        </is>
      </c>
    </row>
    <row r="67">
      <c r="A67" s="4" t="n">
        <f>A66+1</f>
        <v>0.0</v>
      </c>
      <c r="B67"/>
      <c r="C67" s="3" t="n">
        <v>45861.0</v>
      </c>
      <c r="D67" s="3" t="n">
        <v>45861.0</v>
      </c>
      <c r="E67" s="1" t="inlineStr">
        <is>
          <t>01</t>
        </is>
      </c>
      <c r="F67" s="1" t="inlineStr">
        <is>
          <t>14</t>
        </is>
      </c>
      <c r="G67" s="1" t="inlineStr">
        <is>
          <t>Пашкевич Алексей Владимирович, ИНН: 246307622300</t>
        </is>
      </c>
      <c r="H67" s="1" t="inlineStr">
        <is>
          <t>40817810631006046998</t>
        </is>
      </c>
      <c r="I67" s="1" t="inlineStr">
        <is>
          <t>040407627</t>
        </is>
      </c>
      <c r="J67" s="2" t="n">
        <v>60000.0</v>
      </c>
      <c r="K67"/>
      <c r="L67" s="1" t="inlineStr">
        <is>
          <t>Выплата по Договору аренды транспортного средства №2 от 29.12.2023 за Май, Июнь 2025 года, НДС не облагается</t>
        </is>
      </c>
    </row>
    <row r="68">
      <c r="A68" s="4" t="n">
        <f>A67+1</f>
        <v>0.0</v>
      </c>
      <c r="B68"/>
      <c r="C68" s="3" t="n">
        <v>45861.0</v>
      </c>
      <c r="D68" s="3" t="n">
        <v>45861.0</v>
      </c>
      <c r="E68" s="1" t="inlineStr">
        <is>
          <t>01</t>
        </is>
      </c>
      <c r="F68" s="1" t="inlineStr">
        <is>
          <t>82</t>
        </is>
      </c>
      <c r="G68" s="1" t="inlineStr">
        <is>
          <t>ООО "ШТУРМАН", ИНН: 2460117837</t>
        </is>
      </c>
      <c r="H68" s="1" t="inlineStr">
        <is>
          <t>40702810731000037002</t>
        </is>
      </c>
      <c r="I68" s="1" t="inlineStr">
        <is>
          <t>040407627</t>
        </is>
      </c>
      <c r="J68"/>
      <c r="K68" s="2" t="n">
        <v>100000.0</v>
      </c>
      <c r="L68" s="1" t="inlineStr">
        <is>
          <t>Пополнение расчетного счета, В том числе НДС 20 % - 16666.67 рублей.</t>
        </is>
      </c>
    </row>
    <row r="69">
      <c r="A69" s="4" t="n">
        <f>A68+1</f>
        <v>0.0</v>
      </c>
      <c r="B69"/>
      <c r="C69" s="3" t="n">
        <v>45873.0</v>
      </c>
      <c r="D69" s="3" t="n">
        <v>45873.0</v>
      </c>
      <c r="E69" s="1" t="inlineStr">
        <is>
          <t>01</t>
        </is>
      </c>
      <c r="F69" s="1" t="inlineStr">
        <is>
          <t>16</t>
        </is>
      </c>
      <c r="G69" s="1" t="inlineStr">
        <is>
          <t>ИП Ткачев Александр Иванович, ИНН: 246309865121</t>
        </is>
      </c>
      <c r="H69" s="1" t="inlineStr">
        <is>
          <t>40802810831000056210</t>
        </is>
      </c>
      <c r="I69" s="1" t="inlineStr">
        <is>
          <t>040407627</t>
        </is>
      </c>
      <c r="J69" s="2" t="n">
        <v>2000.0</v>
      </c>
      <c r="K69"/>
      <c r="L69" s="1" t="inlineStr">
        <is>
          <t>Оплата за услуги доставки по счету №306 от 02.08.2025, НДС не облагается</t>
        </is>
      </c>
    </row>
    <row r="70">
      <c r="A70" s="4" t="n">
        <f>A69+1</f>
        <v>0.0</v>
      </c>
      <c r="B70"/>
      <c r="C70" s="3" t="n">
        <v>45876.0</v>
      </c>
      <c r="D70" s="3" t="n">
        <v>45876.0</v>
      </c>
      <c r="E70" s="1" t="inlineStr">
        <is>
          <t>01</t>
        </is>
      </c>
      <c r="F70" s="1" t="inlineStr">
        <is>
          <t>17</t>
        </is>
      </c>
      <c r="G70" s="1" t="inlineStr">
        <is>
          <t>ООО "ОЛИМП", ИНН: 2462074498</t>
        </is>
      </c>
      <c r="H70" s="1" t="inlineStr">
        <is>
          <t>40702810423590002548</t>
        </is>
      </c>
      <c r="I70" s="1" t="inlineStr">
        <is>
          <t>045004774</t>
        </is>
      </c>
      <c r="J70" s="2" t="n">
        <v>2000.0</v>
      </c>
      <c r="K70"/>
      <c r="L70" s="1" t="inlineStr">
        <is>
          <t>За услуги грузоперевозки по Счету №УТ-60 от 28.07.2025, В том числе НДС 20.00% - 333.33</t>
        </is>
      </c>
    </row>
    <row r="71">
      <c r="A71" s="4" t="n">
        <f>A70+1</f>
        <v>0.0</v>
      </c>
      <c r="B71"/>
      <c r="C71" s="3" t="n">
        <v>45880.0</v>
      </c>
      <c r="D71" s="3" t="n">
        <v>45880.0</v>
      </c>
      <c r="E71" s="1" t="inlineStr">
        <is>
          <t>01</t>
        </is>
      </c>
      <c r="F71" s="1" t="inlineStr">
        <is>
          <t>18</t>
        </is>
      </c>
      <c r="G71" s="1" t="inlineStr">
        <is>
          <t>ИП Ткачев Александр Иванович, ИНН: 246309865121</t>
        </is>
      </c>
      <c r="H71" s="1" t="inlineStr">
        <is>
          <t>40802810831000056210</t>
        </is>
      </c>
      <c r="I71" s="1" t="inlineStr">
        <is>
          <t>040407627</t>
        </is>
      </c>
      <c r="J71" s="2" t="n">
        <v>3000.0</v>
      </c>
      <c r="K71"/>
      <c r="L71" s="1" t="inlineStr">
        <is>
          <t>Оплата за услуги доставки по счету №307 от 09.08.2025, НДС не облагается</t>
        </is>
      </c>
    </row>
    <row r="72">
      <c r="A72" s="4" t="n">
        <f>A71+1</f>
        <v>0.0</v>
      </c>
      <c r="B72"/>
      <c r="C72" s="3" t="n">
        <v>45909.0</v>
      </c>
      <c r="D72" s="3" t="n">
        <v>45909.0</v>
      </c>
      <c r="E72" s="1" t="inlineStr">
        <is>
          <t>01</t>
        </is>
      </c>
      <c r="F72" s="1" t="inlineStr">
        <is>
          <t>19</t>
        </is>
      </c>
      <c r="G72" s="1" t="inlineStr">
        <is>
          <t>ООО "ОЛИМП", ИНН: 2462074498</t>
        </is>
      </c>
      <c r="H72" s="1" t="inlineStr">
        <is>
          <t>40702810423590002548</t>
        </is>
      </c>
      <c r="I72" s="1" t="inlineStr">
        <is>
          <t>045004774</t>
        </is>
      </c>
      <c r="J72" s="2" t="n">
        <v>3000.0</v>
      </c>
      <c r="K72"/>
      <c r="L72" s="1" t="inlineStr">
        <is>
          <t>За транспортные услуги по счету ;УТ-68 от 24.08.2025, В том числе НДС 20.00% - 500.00</t>
        </is>
      </c>
    </row>
    <row r="73">
      <c r="A73" s="4" t="n">
        <f>A72+1</f>
        <v>0.0</v>
      </c>
      <c r="B73"/>
      <c r="C73" s="3" t="n">
        <v>45936.0</v>
      </c>
      <c r="D73" s="3" t="n">
        <v>45936.0</v>
      </c>
      <c r="E73" s="1" t="inlineStr">
        <is>
          <t>01</t>
        </is>
      </c>
      <c r="F73" s="1" t="inlineStr">
        <is>
          <t>20</t>
        </is>
      </c>
      <c r="G73" s="1" t="inlineStr">
        <is>
          <t>ООО "ГАРАНТ-94", ИНН: 2465000342</t>
        </is>
      </c>
      <c r="H73" s="1" t="inlineStr">
        <is>
          <t>40702810000600000642</t>
        </is>
      </c>
      <c r="I73" s="1" t="inlineStr">
        <is>
          <t>044525411</t>
        </is>
      </c>
      <c r="J73" s="2" t="n">
        <v>1200.0</v>
      </c>
      <c r="K73"/>
      <c r="L73" s="1" t="inlineStr">
        <is>
          <t>Доплата за аренду нежилого помещения за сентябрь 2025г. по Договору №66 от 30.10.2024, В том числе НДС</t>
        </is>
      </c>
    </row>
    <row r="74">
      <c r="A74" s="4" t="n">
        <f>A73+1</f>
        <v>0.0</v>
      </c>
      <c r="B74"/>
      <c r="C74" s="3" t="n">
        <v>45952.0</v>
      </c>
      <c r="D74" s="3" t="n">
        <v>45952.0</v>
      </c>
      <c r="E74" s="1" t="inlineStr">
        <is>
          <t>01</t>
        </is>
      </c>
      <c r="F74" s="1" t="inlineStr">
        <is>
          <t>21</t>
        </is>
      </c>
      <c r="G74" s="1" t="inlineStr">
        <is>
          <t>ООО "ОЛИМП", ИНН: 2462074498</t>
        </is>
      </c>
      <c r="H74" s="1" t="inlineStr">
        <is>
          <t>40702810423590002548</t>
        </is>
      </c>
      <c r="I74" s="1" t="inlineStr">
        <is>
          <t>045004774</t>
        </is>
      </c>
      <c r="J74" s="2" t="n">
        <v>3000.0</v>
      </c>
      <c r="K74"/>
      <c r="L74" s="1" t="inlineStr">
        <is>
          <t>За транспортные услуги по счету №УТ-77 от 20.10.2025, В том числе НДС 20.00% - 500.00</t>
        </is>
      </c>
    </row>
    <row r="75">
      <c r="A75" s="4" t="n">
        <f>A74+1</f>
        <v>0.0</v>
      </c>
      <c r="B75"/>
      <c r="C75" s="3" t="n">
        <v>45957.0</v>
      </c>
      <c r="D75" s="3" t="n">
        <v>45957.0</v>
      </c>
      <c r="E75" s="1" t="inlineStr">
        <is>
          <t>01</t>
        </is>
      </c>
      <c r="F75" s="1" t="inlineStr">
        <is>
          <t>22</t>
        </is>
      </c>
      <c r="G75" s="1" t="inlineStr">
        <is>
          <t>ООО "ОЛИМП", ИНН: 2462074498</t>
        </is>
      </c>
      <c r="H75" s="1" t="inlineStr">
        <is>
          <t>40702810423590002548</t>
        </is>
      </c>
      <c r="I75" s="1" t="inlineStr">
        <is>
          <t>045004774</t>
        </is>
      </c>
      <c r="J75" s="2" t="n">
        <v>3000.0</v>
      </c>
      <c r="K75"/>
      <c r="L75" s="1" t="inlineStr">
        <is>
          <t>За транспортные услуги по счету №УТ-80 от 27.10.2025, В том числе НДС 20.00% - 500.00</t>
        </is>
      </c>
    </row>
    <row r="76">
      <c r="A76" s="1" t="inlineStr">
        <is>
          <t>Количество операций / Operations  quantity</t>
        </is>
      </c>
      <c r="B76"/>
      <c r="C76"/>
      <c r="D76"/>
      <c r="E76"/>
      <c r="F76"/>
      <c r="G76"/>
      <c r="H76"/>
      <c r="I76"/>
      <c r="J76" s="4" t="n">
        <f>COUNTA(J13:J75)</f>
        <v>0.0</v>
      </c>
      <c r="K76" s="4" t="n">
        <f>COUNTA(K13:K75)</f>
        <v>0.0</v>
      </c>
    </row>
    <row r="77">
      <c r="A77" s="1" t="inlineStr">
        <is>
          <t>Обороты / Turnover</t>
        </is>
      </c>
      <c r="B77"/>
      <c r="C77"/>
      <c r="D77"/>
      <c r="E77"/>
      <c r="F77"/>
      <c r="G77"/>
      <c r="H77"/>
      <c r="I77"/>
      <c r="J77" s="2" t="n">
        <f>SUM(J13:J75)</f>
        <v>0.0</v>
      </c>
      <c r="K77" s="2" t="n">
        <f>SUM(K13:K75)</f>
        <v>0.0</v>
      </c>
    </row>
    <row r="78">
</row>
    <row r="79">
      <c r="A79" s="1" t="inlineStr">
        <is>
          <t>Исходящий остаток на конец дня (периода) / Closing balance</t>
        </is>
      </c>
      <c r="B79" s="2" t="n">
        <v>7277.87</v>
      </c>
    </row>
  </sheetData>
  <mergeCells count="75">
    <mergeCell ref="G10:I10"/>
    <mergeCell ref="A10:B11"/>
    <mergeCell ref="C10:C11"/>
    <mergeCell ref="D10:D11"/>
    <mergeCell ref="E10:E11"/>
    <mergeCell ref="F10:F11"/>
    <mergeCell ref="J10:J11"/>
    <mergeCell ref="K10:K11"/>
    <mergeCell ref="L10:L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I76"/>
    <mergeCell ref="A77:I7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2025-11-04T15:05:50Z</dcterms:created>
  <dc:creator>Apache POI</dc:creator>
</cp:coreProperties>
</file>